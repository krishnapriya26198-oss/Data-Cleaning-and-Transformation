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244" documentId="11_3C784BE47D5BC9D6C729A121CD02E8CB7FE6236B" xr6:coauthVersionLast="47" xr6:coauthVersionMax="47" xr10:uidLastSave="{08533256-BA65-42D2-95FD-54A633654262}"/>
  <bookViews>
    <workbookView xWindow="0" yWindow="0" windowWidth="0" windowHeight="0" activeTab="7" xr2:uid="{00000000-000D-0000-FFFF-FFFF00000000}"/>
  </bookViews>
  <sheets>
    <sheet name="Instructions" sheetId="1" r:id="rId1"/>
    <sheet name="Dataset" sheetId="2" r:id="rId2"/>
    <sheet name=" Handling Missing Values" sheetId="3" r:id="rId3"/>
    <sheet name="Correcting Inconsistent Data" sheetId="4" r:id="rId4"/>
    <sheet name=" Removing Duplicates" sheetId="5" r:id="rId5"/>
    <sheet name="Splitting and Merging Data" sheetId="6" r:id="rId6"/>
    <sheet name="Number Formatting" sheetId="7" r:id="rId7"/>
    <sheet name="Conditional Formatting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2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2" i="6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2" i="3"/>
  <c r="J3" i="3"/>
</calcChain>
</file>

<file path=xl/sharedStrings.xml><?xml version="1.0" encoding="utf-8"?>
<sst xmlns="http://schemas.openxmlformats.org/spreadsheetml/2006/main" count="1087" uniqueCount="151">
  <si>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</si>
  <si>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</si>
  <si>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</si>
  <si>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</si>
  <si>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</si>
  <si>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</si>
  <si>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</si>
  <si>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</si>
  <si>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</si>
  <si>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</si>
  <si>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</si>
  <si>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</si>
  <si>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</si>
  <si>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</si>
  <si>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</si>
  <si>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</si>
  <si>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</si>
  <si>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</si>
  <si>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</si>
  <si>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</si>
  <si>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</si>
  <si>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</si>
  <si>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</si>
  <si>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</si>
  <si>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</si>
  <si>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</si>
  <si>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</si>
  <si>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</si>
  <si>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</si>
  <si>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</si>
  <si>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</si>
  <si>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</si>
  <si>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</si>
  <si>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</si>
  <si>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</si>
  <si>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</si>
  <si>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</si>
  <si>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</si>
  <si>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</si>
  <si>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</si>
  <si>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</si>
  <si>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</si>
  <si>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</si>
  <si>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</si>
  <si>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</si>
  <si>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</si>
  <si>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</si>
  <si>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</si>
  <si>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</si>
  <si>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</si>
  <si>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</si>
  <si>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</si>
  <si>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</si>
  <si>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</si>
  <si>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</si>
  <si>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</si>
  <si>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</si>
  <si>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</si>
  <si>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</si>
  <si>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</si>
  <si>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</si>
  <si>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</si>
  <si>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</si>
  <si>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</si>
  <si>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</si>
  <si>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</si>
  <si>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</si>
  <si>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</si>
  <si>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</si>
  <si>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</si>
  <si>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</si>
  <si>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</si>
  <si>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</si>
  <si>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</si>
  <si>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</si>
  <si>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</si>
  <si>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</si>
  <si>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</si>
  <si>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</si>
  <si>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</si>
  <si>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</si>
  <si>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</si>
  <si>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</si>
  <si>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</si>
  <si>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</si>
  <si>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</si>
  <si>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</si>
  <si>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</si>
  <si>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</si>
  <si>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</si>
  <si>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</si>
  <si>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</si>
  <si>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</si>
  <si>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</si>
  <si>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</si>
  <si>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</si>
  <si>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</si>
  <si>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</si>
  <si>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</si>
  <si>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</si>
  <si>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</si>
  <si>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</si>
  <si>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</si>
  <si>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</si>
  <si>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</si>
  <si>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</si>
  <si>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</si>
  <si>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</si>
  <si>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</si>
  <si>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</si>
  <si>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</si>
  <si>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</si>
  <si>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</si>
  <si>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</si>
  <si>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</si>
  <si>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</si>
  <si>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Corrected</t>
  </si>
  <si>
    <t>Category Missing</t>
  </si>
  <si>
    <t>Missing Values</t>
  </si>
  <si>
    <t>Selected the entire sheet and remove 3 duplicate rows</t>
  </si>
  <si>
    <t>Product</t>
  </si>
  <si>
    <t>ID</t>
  </si>
  <si>
    <t>Country Code</t>
  </si>
  <si>
    <t>Manufacturing Date</t>
  </si>
  <si>
    <t>Product Brand</t>
  </si>
  <si>
    <t>JAN</t>
  </si>
  <si>
    <t>US</t>
  </si>
  <si>
    <t>FEB</t>
  </si>
  <si>
    <t>MAR</t>
  </si>
  <si>
    <t>Smartphones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</si>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</sst>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0" formatCode="dd\-mm\-yyyy"/>
  </numFmts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right"/>
    </xf>
    <xf numFmtId="2" fontId="0" fillId="0" borderId="0" xfId="0" applyNumberFormat="1" applyFont="1" applyAlignment="1"/>
    <xf numFmtId="0" fontId="7" fillId="2" borderId="0" xfId="0" applyNumberFormat="1" applyFont="1" applyFill="1" applyAlignment="1">
      <alignment horizontal="center"/>
    </xf>
    <xf numFmtId="0" fontId="5" fillId="0" borderId="0" xfId="0" applyNumberFormat="1" applyFont="1"/>
    <xf numFmtId="0" fontId="5" fillId="3" borderId="0" xfId="0" applyNumberFormat="1" applyFont="1" applyFill="1"/>
    <xf numFmtId="0" fontId="8" fillId="0" borderId="0" xfId="0" applyFont="1" applyAlignment="1"/>
    <xf numFmtId="164" fontId="5" fillId="0" borderId="0" xfId="0" applyNumberFormat="1" applyFont="1"/>
    <xf numFmtId="164" fontId="5" fillId="3" borderId="0" xfId="0" applyNumberFormat="1" applyFont="1" applyFill="1"/>
    <xf numFmtId="170" fontId="0" fillId="0" borderId="0" xfId="0" applyNumberFormat="1" applyFont="1" applyAlignment="1"/>
    <xf numFmtId="170" fontId="0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D23" sqref="B23:D23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6" workbookViewId="0">
      <selection activeCell="E40" sqref="E40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90C3-CA9E-483C-9F1D-CDA0EAF18552}">
  <dimension ref="A1:L35"/>
  <sheetViews>
    <sheetView workbookViewId="0">
      <selection activeCell="L2" sqref="L2:L35"/>
    </sheetView>
  </sheetViews>
  <sheetFormatPr defaultRowHeight="12.75"/>
  <cols>
    <col min="1" max="1" width="15.42578125" customWidth="1"/>
    <col min="2" max="2" width="16.42578125" customWidth="1"/>
    <col min="3" max="3" width="14.85546875" customWidth="1"/>
    <col min="5" max="6" width="14.5703125" customWidth="1"/>
    <col min="11" max="11" width="16" customWidth="1"/>
    <col min="12" max="12" width="19.5703125" customWidth="1"/>
  </cols>
  <sheetData>
    <row r="1" spans="1:1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K1" t="s">
        <v>116</v>
      </c>
      <c r="L1" t="s">
        <v>117</v>
      </c>
    </row>
    <row r="2" spans="1:1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K2">
        <f>IF(ISBLANK(D2),AVERAGE($D$2:$D$35),D2)</f>
        <v>1000</v>
      </c>
      <c r="L2" s="12" t="str">
        <f>IF(ISBLANK(F2),"Unknown",F2)</f>
        <v>Electronics</v>
      </c>
    </row>
    <row r="3" spans="1:12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H3" t="s">
        <v>118</v>
      </c>
      <c r="J3">
        <f>COUNTBLANK(D2:D35)</f>
        <v>3</v>
      </c>
      <c r="K3">
        <f t="shared" ref="K3:K35" si="0">IF(ISBLANK(D3),AVERAGE($D$2:$D$35),D3)</f>
        <v>80</v>
      </c>
      <c r="L3" s="12" t="str">
        <f t="shared" ref="L3:L35" si="1">IF(ISBLANK(F3),"Unknown",F3)</f>
        <v>Fashion</v>
      </c>
    </row>
    <row r="4" spans="1:12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K4">
        <f t="shared" si="0"/>
        <v>130</v>
      </c>
      <c r="L4" s="12" t="str">
        <f t="shared" si="1"/>
        <v>Kitchen</v>
      </c>
    </row>
    <row r="5" spans="1:12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K5">
        <f t="shared" si="0"/>
        <v>900</v>
      </c>
      <c r="L5" s="12" t="str">
        <f t="shared" si="1"/>
        <v>Electronics</v>
      </c>
    </row>
    <row r="6" spans="1:1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K6">
        <f t="shared" si="0"/>
        <v>70</v>
      </c>
      <c r="L6" s="12" t="str">
        <f t="shared" si="1"/>
        <v>Unknown</v>
      </c>
    </row>
    <row r="7" spans="1:1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  <c r="K7">
        <f t="shared" si="0"/>
        <v>309.35483870967744</v>
      </c>
      <c r="L7" s="12" t="str">
        <f t="shared" si="1"/>
        <v>Electroni</v>
      </c>
    </row>
    <row r="8" spans="1:12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K8">
        <f t="shared" si="0"/>
        <v>30</v>
      </c>
      <c r="L8" s="12" t="str">
        <f t="shared" si="1"/>
        <v>Fashion</v>
      </c>
    </row>
    <row r="9" spans="1:12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K9">
        <f t="shared" si="0"/>
        <v>90</v>
      </c>
      <c r="L9" s="12" t="str">
        <f t="shared" si="1"/>
        <v>Kitchen</v>
      </c>
    </row>
    <row r="10" spans="1:12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K10">
        <f t="shared" si="0"/>
        <v>500</v>
      </c>
      <c r="L10" s="12" t="str">
        <f t="shared" si="1"/>
        <v>Electronics</v>
      </c>
    </row>
    <row r="11" spans="1:12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K11">
        <f t="shared" si="0"/>
        <v>130</v>
      </c>
      <c r="L11" s="12" t="str">
        <f t="shared" si="1"/>
        <v>Outdoor</v>
      </c>
    </row>
    <row r="12" spans="1:12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K12">
        <f t="shared" si="0"/>
        <v>950</v>
      </c>
      <c r="L12" s="12" t="str">
        <f t="shared" si="1"/>
        <v>Electronics</v>
      </c>
    </row>
    <row r="13" spans="1:12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  <c r="K13">
        <f t="shared" si="0"/>
        <v>90</v>
      </c>
      <c r="L13" s="12" t="str">
        <f t="shared" si="1"/>
        <v>Unknown</v>
      </c>
    </row>
    <row r="14" spans="1:12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K14">
        <f t="shared" si="0"/>
        <v>120</v>
      </c>
      <c r="L14" s="12" t="str">
        <f t="shared" si="1"/>
        <v>Unknown</v>
      </c>
    </row>
    <row r="15" spans="1:12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K15">
        <f t="shared" si="0"/>
        <v>150</v>
      </c>
      <c r="L15" s="12" t="str">
        <f t="shared" si="1"/>
        <v>Electroni</v>
      </c>
    </row>
    <row r="16" spans="1:12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K16">
        <f t="shared" si="0"/>
        <v>250</v>
      </c>
      <c r="L16" s="12" t="str">
        <f t="shared" si="1"/>
        <v>Electroni</v>
      </c>
    </row>
    <row r="17" spans="1:12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K17">
        <f t="shared" si="0"/>
        <v>50</v>
      </c>
      <c r="L17" s="12" t="str">
        <f t="shared" si="1"/>
        <v>Accessories</v>
      </c>
    </row>
    <row r="18" spans="1:12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K18">
        <f t="shared" si="0"/>
        <v>160</v>
      </c>
      <c r="L18" s="12" t="str">
        <f t="shared" si="1"/>
        <v>Electroni</v>
      </c>
    </row>
    <row r="19" spans="1:12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K19">
        <f t="shared" si="0"/>
        <v>980</v>
      </c>
      <c r="L19" s="12" t="str">
        <f t="shared" si="1"/>
        <v>Electronics</v>
      </c>
    </row>
    <row r="20" spans="1:12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K20">
        <f t="shared" si="0"/>
        <v>150</v>
      </c>
      <c r="L20" s="12" t="str">
        <f t="shared" si="1"/>
        <v>Fashion</v>
      </c>
    </row>
    <row r="21" spans="1:12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K21">
        <f t="shared" si="0"/>
        <v>309.35483870967744</v>
      </c>
      <c r="L21" s="12" t="str">
        <f t="shared" si="1"/>
        <v>Outdoor</v>
      </c>
    </row>
    <row r="22" spans="1:12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K22">
        <f t="shared" si="0"/>
        <v>700</v>
      </c>
      <c r="L22" s="12" t="str">
        <f t="shared" si="1"/>
        <v>Electronics</v>
      </c>
    </row>
    <row r="23" spans="1:12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K23">
        <f t="shared" si="0"/>
        <v>80</v>
      </c>
      <c r="L23" s="12" t="str">
        <f t="shared" si="1"/>
        <v>Kitchen</v>
      </c>
    </row>
    <row r="24" spans="1:12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K24">
        <f t="shared" si="0"/>
        <v>150</v>
      </c>
      <c r="L24" s="12" t="str">
        <f t="shared" si="1"/>
        <v>Unknown</v>
      </c>
    </row>
    <row r="25" spans="1:12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  <c r="K25">
        <f t="shared" si="0"/>
        <v>50</v>
      </c>
      <c r="L25" s="12" t="str">
        <f t="shared" si="1"/>
        <v>Accessories</v>
      </c>
    </row>
    <row r="26" spans="1:12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K26">
        <f t="shared" si="0"/>
        <v>800</v>
      </c>
      <c r="L26" s="12" t="str">
        <f t="shared" si="1"/>
        <v>Electronics</v>
      </c>
    </row>
    <row r="27" spans="1:12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  <c r="K27">
        <f t="shared" si="0"/>
        <v>309.35483870967744</v>
      </c>
      <c r="L27" s="12" t="str">
        <f t="shared" si="1"/>
        <v>Fashion</v>
      </c>
    </row>
    <row r="28" spans="1:12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K28">
        <f t="shared" si="0"/>
        <v>400</v>
      </c>
      <c r="L28" s="12" t="str">
        <f t="shared" si="1"/>
        <v>Kitchen</v>
      </c>
    </row>
    <row r="29" spans="1:12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  <c r="K29">
        <f t="shared" si="0"/>
        <v>250</v>
      </c>
      <c r="L29" s="12" t="str">
        <f t="shared" si="1"/>
        <v>Electroni</v>
      </c>
    </row>
    <row r="30" spans="1:12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K30">
        <f t="shared" si="0"/>
        <v>60</v>
      </c>
      <c r="L30" s="12" t="str">
        <f t="shared" si="1"/>
        <v>Fashion</v>
      </c>
    </row>
    <row r="31" spans="1:12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K31">
        <f t="shared" si="0"/>
        <v>40</v>
      </c>
      <c r="L31" s="12" t="str">
        <f t="shared" si="1"/>
        <v>Kitchen</v>
      </c>
    </row>
    <row r="32" spans="1:12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K32">
        <f t="shared" si="0"/>
        <v>130</v>
      </c>
      <c r="L32" s="12" t="str">
        <f t="shared" si="1"/>
        <v>Electronics</v>
      </c>
    </row>
    <row r="33" spans="1:12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K33">
        <f t="shared" si="0"/>
        <v>50</v>
      </c>
      <c r="L33" s="12" t="str">
        <f t="shared" si="1"/>
        <v>Fashion</v>
      </c>
    </row>
    <row r="34" spans="1:12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K34">
        <f t="shared" si="0"/>
        <v>950</v>
      </c>
      <c r="L34" s="12" t="str">
        <f t="shared" si="1"/>
        <v>Electronics</v>
      </c>
    </row>
    <row r="35" spans="1:12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K35">
        <f t="shared" si="0"/>
        <v>100</v>
      </c>
      <c r="L35" s="12" t="str">
        <f t="shared" si="1"/>
        <v>Accessories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E248-E5E8-4E87-BB83-76B36D109134}">
  <dimension ref="A1:F35"/>
  <sheetViews>
    <sheetView workbookViewId="0">
      <selection activeCell="F15" sqref="F15"/>
    </sheetView>
  </sheetViews>
  <sheetFormatPr defaultRowHeight="12.75"/>
  <cols>
    <col min="1" max="1" width="19" customWidth="1"/>
    <col min="2" max="2" width="13.7109375" customWidth="1"/>
    <col min="3" max="3" width="17.85546875" customWidth="1"/>
    <col min="5" max="5" width="16.28515625" customWidth="1"/>
    <col min="6" max="6" width="18.28515625" customWidth="1"/>
  </cols>
  <sheetData>
    <row r="1" spans="1:6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6">
      <c r="A2" s="10" t="s">
        <v>25</v>
      </c>
      <c r="B2" s="10" t="s">
        <v>61</v>
      </c>
      <c r="C2" s="10" t="s">
        <v>27</v>
      </c>
      <c r="D2" s="10">
        <v>1000</v>
      </c>
      <c r="E2" s="10">
        <v>30</v>
      </c>
      <c r="F2" s="10" t="s">
        <v>28</v>
      </c>
    </row>
    <row r="3" spans="1:6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6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6">
      <c r="A5" s="11" t="s">
        <v>37</v>
      </c>
      <c r="B5" s="11" t="s">
        <v>96</v>
      </c>
      <c r="C5" s="11" t="s">
        <v>39</v>
      </c>
      <c r="D5" s="11">
        <v>900</v>
      </c>
      <c r="E5" s="11">
        <v>25</v>
      </c>
      <c r="F5" s="11" t="s">
        <v>28</v>
      </c>
    </row>
    <row r="6" spans="1:6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6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</row>
    <row r="8" spans="1:6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6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6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6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6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6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6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6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28</v>
      </c>
    </row>
    <row r="16" spans="1:6">
      <c r="A16" s="10" t="s">
        <v>69</v>
      </c>
      <c r="B16" s="10" t="s">
        <v>44</v>
      </c>
      <c r="C16" s="10" t="s">
        <v>71</v>
      </c>
      <c r="D16" s="10">
        <v>250</v>
      </c>
      <c r="E16" s="10">
        <v>20</v>
      </c>
      <c r="F16" s="10" t="s">
        <v>28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</row>
    <row r="19" spans="1:6">
      <c r="A19" s="11" t="s">
        <v>78</v>
      </c>
      <c r="B19" s="11" t="s">
        <v>61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>
      <c r="A29" s="11" t="s">
        <v>69</v>
      </c>
      <c r="B29" s="11" t="s">
        <v>44</v>
      </c>
      <c r="C29" s="11" t="s">
        <v>71</v>
      </c>
      <c r="D29" s="11">
        <v>250</v>
      </c>
      <c r="E29" s="11">
        <v>20</v>
      </c>
      <c r="F29" s="11" t="s">
        <v>28</v>
      </c>
    </row>
    <row r="30" spans="1:6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D2F9-FF5A-4DDA-9FEA-D6E884720CBD}">
  <dimension ref="A1:I32"/>
  <sheetViews>
    <sheetView workbookViewId="0">
      <selection activeCell="I5" sqref="I5"/>
    </sheetView>
  </sheetViews>
  <sheetFormatPr defaultRowHeight="12.75"/>
  <cols>
    <col min="1" max="1" width="17.7109375" customWidth="1"/>
    <col min="2" max="2" width="13.140625" customWidth="1"/>
    <col min="3" max="3" width="12.7109375" customWidth="1"/>
    <col min="6" max="6" width="24.42578125" customWidth="1"/>
  </cols>
  <sheetData>
    <row r="1" spans="1:9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9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9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9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t="s">
        <v>119</v>
      </c>
    </row>
    <row r="5" spans="1:9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9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9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9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9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9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9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9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9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9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9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9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>
      <c r="A25" s="10" t="s">
        <v>95</v>
      </c>
      <c r="B25" s="10" t="s">
        <v>96</v>
      </c>
      <c r="C25" s="10" t="s">
        <v>97</v>
      </c>
      <c r="D25" s="10">
        <v>800</v>
      </c>
      <c r="E25" s="10">
        <v>45</v>
      </c>
      <c r="F25" s="10" t="s">
        <v>28</v>
      </c>
    </row>
    <row r="26" spans="1:6">
      <c r="A26" s="11" t="s">
        <v>98</v>
      </c>
      <c r="B26" s="11" t="s">
        <v>81</v>
      </c>
      <c r="C26" s="11" t="s">
        <v>99</v>
      </c>
      <c r="D26" s="11"/>
      <c r="E26" s="11">
        <v>25</v>
      </c>
      <c r="F26" s="11" t="s">
        <v>32</v>
      </c>
    </row>
    <row r="27" spans="1:6">
      <c r="A27" s="10" t="s">
        <v>100</v>
      </c>
      <c r="B27" s="10" t="s">
        <v>51</v>
      </c>
      <c r="C27" s="10" t="s">
        <v>101</v>
      </c>
      <c r="D27" s="10">
        <v>400</v>
      </c>
      <c r="E27" s="10">
        <v>40</v>
      </c>
      <c r="F27" s="10" t="s">
        <v>36</v>
      </c>
    </row>
    <row r="28" spans="1:6">
      <c r="A28" s="10" t="s">
        <v>102</v>
      </c>
      <c r="B28" s="10" t="s">
        <v>103</v>
      </c>
      <c r="C28" s="10" t="s">
        <v>104</v>
      </c>
      <c r="D28" s="10">
        <v>60</v>
      </c>
      <c r="E28" s="10">
        <v>30</v>
      </c>
      <c r="F28" s="10" t="s">
        <v>32</v>
      </c>
    </row>
    <row r="29" spans="1:6">
      <c r="A29" s="11" t="s">
        <v>105</v>
      </c>
      <c r="B29" s="11" t="s">
        <v>106</v>
      </c>
      <c r="C29" s="11" t="s">
        <v>107</v>
      </c>
      <c r="D29" s="11">
        <v>40</v>
      </c>
      <c r="E29" s="11">
        <v>10</v>
      </c>
      <c r="F29" s="11" t="s">
        <v>36</v>
      </c>
    </row>
    <row r="30" spans="1:6">
      <c r="A30" s="10" t="s">
        <v>108</v>
      </c>
      <c r="B30" s="10" t="s">
        <v>93</v>
      </c>
      <c r="C30" s="10" t="s">
        <v>109</v>
      </c>
      <c r="D30" s="10">
        <v>130</v>
      </c>
      <c r="E30" s="10">
        <v>5</v>
      </c>
      <c r="F30" s="10" t="s">
        <v>28</v>
      </c>
    </row>
    <row r="31" spans="1:6">
      <c r="A31" s="11" t="s">
        <v>110</v>
      </c>
      <c r="B31" s="11" t="s">
        <v>111</v>
      </c>
      <c r="C31" s="11" t="s">
        <v>112</v>
      </c>
      <c r="D31" s="11">
        <v>50</v>
      </c>
      <c r="E31" s="11">
        <v>50</v>
      </c>
      <c r="F31" s="11" t="s">
        <v>32</v>
      </c>
    </row>
    <row r="32" spans="1:6">
      <c r="A32" s="11" t="s">
        <v>113</v>
      </c>
      <c r="B32" s="11" t="s">
        <v>114</v>
      </c>
      <c r="C32" s="11" t="s">
        <v>115</v>
      </c>
      <c r="D32" s="11">
        <v>100</v>
      </c>
      <c r="E32" s="11">
        <v>20</v>
      </c>
      <c r="F32" s="1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6218-0A8F-4A97-A9B9-5C7D39E867A9}">
  <dimension ref="A1:Q38"/>
  <sheetViews>
    <sheetView workbookViewId="0">
      <selection activeCell="P15" sqref="P15"/>
    </sheetView>
  </sheetViews>
  <sheetFormatPr defaultRowHeight="12.75"/>
  <cols>
    <col min="1" max="1" width="13.7109375" customWidth="1"/>
    <col min="2" max="2" width="16.5703125" customWidth="1"/>
    <col min="3" max="3" width="15.7109375" customWidth="1"/>
    <col min="6" max="6" width="12.7109375" customWidth="1"/>
    <col min="9" max="9" width="15.28515625" customWidth="1"/>
    <col min="11" max="11" width="13.85546875" customWidth="1"/>
    <col min="12" max="12" width="23.42578125" customWidth="1"/>
    <col min="13" max="13" width="25.140625" customWidth="1"/>
  </cols>
  <sheetData>
    <row r="1" spans="1:17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I1" s="14" t="s">
        <v>120</v>
      </c>
      <c r="J1" s="17" t="s">
        <v>121</v>
      </c>
      <c r="K1" s="17" t="s">
        <v>122</v>
      </c>
      <c r="L1" s="17" t="s">
        <v>123</v>
      </c>
      <c r="M1" s="17" t="s">
        <v>124</v>
      </c>
    </row>
    <row r="2" spans="1:17">
      <c r="A2" s="10" t="s">
        <v>25</v>
      </c>
      <c r="B2" s="10" t="s">
        <v>61</v>
      </c>
      <c r="C2" s="10" t="s">
        <v>27</v>
      </c>
      <c r="D2" s="10">
        <v>1000</v>
      </c>
      <c r="E2" s="10">
        <v>30</v>
      </c>
      <c r="F2" s="10" t="s">
        <v>28</v>
      </c>
      <c r="I2" s="15">
        <v>28</v>
      </c>
      <c r="J2" t="s">
        <v>125</v>
      </c>
      <c r="K2" s="12" t="s">
        <v>126</v>
      </c>
      <c r="L2" s="12" t="str">
        <f>I2&amp;"-"&amp;J2</f>
        <v>28-JAN</v>
      </c>
      <c r="M2" s="12" t="str">
        <f>B2&amp;" "&amp;C2</f>
        <v>Laptop Dell</v>
      </c>
    </row>
    <row r="3" spans="1:17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16">
        <v>15</v>
      </c>
      <c r="J3" t="s">
        <v>127</v>
      </c>
      <c r="K3" s="12" t="s">
        <v>126</v>
      </c>
      <c r="L3" s="12" t="str">
        <f t="shared" ref="L3:L35" si="0">I3&amp;"-"&amp;J3</f>
        <v>15-FEB</v>
      </c>
      <c r="M3" s="12" t="str">
        <f t="shared" ref="M3:M35" si="1">B3&amp;" "&amp;C3</f>
        <v>Sneakers Nike</v>
      </c>
    </row>
    <row r="4" spans="1:17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15">
        <v>3</v>
      </c>
      <c r="J4" t="s">
        <v>128</v>
      </c>
      <c r="K4" s="12" t="s">
        <v>126</v>
      </c>
      <c r="L4" s="12" t="str">
        <f t="shared" si="0"/>
        <v>3-MAR</v>
      </c>
      <c r="M4" s="12" t="str">
        <f t="shared" si="1"/>
        <v>Coffee Maker Keurig</v>
      </c>
    </row>
    <row r="5" spans="1:17">
      <c r="A5" s="11" t="s">
        <v>37</v>
      </c>
      <c r="B5" s="11" t="s">
        <v>129</v>
      </c>
      <c r="C5" s="11" t="s">
        <v>39</v>
      </c>
      <c r="D5" s="11">
        <v>900</v>
      </c>
      <c r="E5" s="11">
        <v>25</v>
      </c>
      <c r="F5" s="11" t="s">
        <v>28</v>
      </c>
      <c r="I5" s="16">
        <v>11</v>
      </c>
      <c r="J5" t="s">
        <v>130</v>
      </c>
      <c r="K5" s="12" t="s">
        <v>126</v>
      </c>
      <c r="L5" s="12" t="str">
        <f t="shared" si="0"/>
        <v>11-APR</v>
      </c>
      <c r="M5" s="12" t="str">
        <f t="shared" si="1"/>
        <v>Smartphones Samsung</v>
      </c>
    </row>
    <row r="6" spans="1:17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I6" s="15">
        <v>22</v>
      </c>
      <c r="J6" t="s">
        <v>131</v>
      </c>
      <c r="K6" s="12" t="s">
        <v>126</v>
      </c>
      <c r="L6" s="12" t="str">
        <f t="shared" si="0"/>
        <v>22-MAY</v>
      </c>
      <c r="M6" s="12" t="str">
        <f t="shared" si="1"/>
        <v>Backpack North Face</v>
      </c>
    </row>
    <row r="7" spans="1:17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  <c r="I7" s="16">
        <v>7</v>
      </c>
      <c r="J7" t="s">
        <v>132</v>
      </c>
      <c r="K7" s="12" t="s">
        <v>133</v>
      </c>
      <c r="L7" s="12" t="str">
        <f t="shared" si="0"/>
        <v>7-JUN</v>
      </c>
      <c r="M7" s="12" t="str">
        <f t="shared" si="1"/>
        <v>Headphones Sony</v>
      </c>
    </row>
    <row r="8" spans="1:17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I8" s="15">
        <v>19</v>
      </c>
      <c r="J8" t="s">
        <v>134</v>
      </c>
      <c r="K8" s="12" t="s">
        <v>133</v>
      </c>
      <c r="L8" s="12" t="str">
        <f t="shared" si="0"/>
        <v>19-JUL</v>
      </c>
      <c r="M8" s="12" t="str">
        <f t="shared" si="1"/>
        <v>T-shirt Adidas</v>
      </c>
    </row>
    <row r="9" spans="1:17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I9" s="16">
        <v>23</v>
      </c>
      <c r="J9" t="s">
        <v>135</v>
      </c>
      <c r="K9" s="12" t="s">
        <v>133</v>
      </c>
      <c r="L9" s="12" t="str">
        <f t="shared" si="0"/>
        <v>23-AUG</v>
      </c>
      <c r="M9" s="12" t="str">
        <f t="shared" si="1"/>
        <v>Blender Ninja</v>
      </c>
    </row>
    <row r="10" spans="1:17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I10" s="15">
        <v>5</v>
      </c>
      <c r="J10" t="s">
        <v>136</v>
      </c>
      <c r="K10" s="12" t="s">
        <v>133</v>
      </c>
      <c r="L10" s="12" t="str">
        <f t="shared" si="0"/>
        <v>5-SEP</v>
      </c>
      <c r="M10" s="12" t="str">
        <f t="shared" si="1"/>
        <v>Tablet Apple</v>
      </c>
    </row>
    <row r="11" spans="1:17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I11" s="16">
        <v>14</v>
      </c>
      <c r="J11" t="s">
        <v>137</v>
      </c>
      <c r="K11" s="12" t="s">
        <v>133</v>
      </c>
      <c r="L11" s="12" t="str">
        <f t="shared" si="0"/>
        <v>14-OCT</v>
      </c>
      <c r="M11" s="12" t="str">
        <f t="shared" si="1"/>
        <v>Hiking Boots Timberland</v>
      </c>
    </row>
    <row r="12" spans="1:17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I12" s="15">
        <v>17</v>
      </c>
      <c r="J12" t="s">
        <v>132</v>
      </c>
      <c r="K12" s="12" t="s">
        <v>138</v>
      </c>
      <c r="L12" s="12" t="str">
        <f t="shared" si="0"/>
        <v>17-JUN</v>
      </c>
      <c r="M12" s="12" t="str">
        <f t="shared" si="1"/>
        <v>Laptop HP</v>
      </c>
    </row>
    <row r="13" spans="1:17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  <c r="I13" s="16">
        <v>25</v>
      </c>
      <c r="J13" t="s">
        <v>139</v>
      </c>
      <c r="K13" s="12" t="s">
        <v>140</v>
      </c>
      <c r="L13" s="12" t="str">
        <f t="shared" si="0"/>
        <v>25-NOV</v>
      </c>
      <c r="M13" s="12" t="str">
        <f t="shared" si="1"/>
        <v>Sneakers Adidas</v>
      </c>
    </row>
    <row r="14" spans="1:17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I14" s="15">
        <v>8</v>
      </c>
      <c r="J14" t="s">
        <v>141</v>
      </c>
      <c r="K14" s="12" t="s">
        <v>142</v>
      </c>
      <c r="L14" s="12" t="str">
        <f t="shared" si="0"/>
        <v>8-DEC</v>
      </c>
      <c r="M14" s="12" t="str">
        <f t="shared" si="1"/>
        <v>Coffee Maker Nespresso</v>
      </c>
      <c r="Q14" s="13"/>
    </row>
    <row r="15" spans="1:17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I15" s="16">
        <v>18</v>
      </c>
      <c r="J15" t="s">
        <v>127</v>
      </c>
      <c r="K15" s="12" t="s">
        <v>143</v>
      </c>
      <c r="L15" s="12" t="str">
        <f t="shared" si="0"/>
        <v>18-FEB</v>
      </c>
      <c r="M15" s="12" t="str">
        <f t="shared" si="1"/>
        <v>Smartwatch Fitbit</v>
      </c>
    </row>
    <row r="16" spans="1:17">
      <c r="A16" s="10" t="s">
        <v>69</v>
      </c>
      <c r="B16" s="10" t="s">
        <v>44</v>
      </c>
      <c r="C16" s="10" t="s">
        <v>71</v>
      </c>
      <c r="D16" s="10">
        <v>250</v>
      </c>
      <c r="E16" s="10">
        <v>20</v>
      </c>
      <c r="F16" s="10" t="s">
        <v>46</v>
      </c>
      <c r="I16" s="15">
        <v>16</v>
      </c>
      <c r="J16" t="s">
        <v>130</v>
      </c>
      <c r="K16" s="12" t="s">
        <v>144</v>
      </c>
      <c r="L16" s="12" t="str">
        <f t="shared" si="0"/>
        <v>16-APR</v>
      </c>
      <c r="M16" s="12" t="str">
        <f t="shared" si="1"/>
        <v>Headphones Bose</v>
      </c>
    </row>
    <row r="17" spans="1:13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I17" s="16">
        <v>21</v>
      </c>
      <c r="J17" t="s">
        <v>135</v>
      </c>
      <c r="K17" s="12" t="s">
        <v>143</v>
      </c>
      <c r="L17" s="12" t="str">
        <f t="shared" si="0"/>
        <v>21-AUG</v>
      </c>
      <c r="M17" s="12" t="str">
        <f t="shared" si="1"/>
        <v>Laptop Bag Samsonite</v>
      </c>
    </row>
    <row r="18" spans="1:13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I18" s="15">
        <v>20</v>
      </c>
      <c r="J18" t="s">
        <v>135</v>
      </c>
      <c r="K18" s="12" t="s">
        <v>145</v>
      </c>
      <c r="L18" s="12" t="str">
        <f t="shared" si="0"/>
        <v>20-AUG</v>
      </c>
      <c r="M18" s="12" t="str">
        <f t="shared" si="1"/>
        <v>Smartwatch Huawei</v>
      </c>
    </row>
    <row r="19" spans="1:13">
      <c r="A19" s="11" t="s">
        <v>78</v>
      </c>
      <c r="B19" s="11" t="s">
        <v>61</v>
      </c>
      <c r="C19" s="11" t="s">
        <v>79</v>
      </c>
      <c r="D19" s="11">
        <v>980</v>
      </c>
      <c r="E19" s="11">
        <v>10</v>
      </c>
      <c r="F19" s="11" t="s">
        <v>28</v>
      </c>
      <c r="I19" s="16">
        <v>27</v>
      </c>
      <c r="J19" t="s">
        <v>125</v>
      </c>
      <c r="K19" s="12" t="s">
        <v>146</v>
      </c>
      <c r="L19" s="12" t="str">
        <f t="shared" si="0"/>
        <v>27-JAN</v>
      </c>
      <c r="M19" s="12" t="str">
        <f t="shared" si="1"/>
        <v>Laptop Asus</v>
      </c>
    </row>
    <row r="20" spans="1:13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I20" s="15">
        <v>1</v>
      </c>
      <c r="J20" t="s">
        <v>128</v>
      </c>
      <c r="K20" s="12" t="s">
        <v>133</v>
      </c>
      <c r="L20" s="12" t="str">
        <f t="shared" si="0"/>
        <v>1-MAR</v>
      </c>
      <c r="M20" s="12" t="str">
        <f t="shared" si="1"/>
        <v>Sunglasses Oakley</v>
      </c>
    </row>
    <row r="21" spans="1:13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I21" s="16">
        <v>14</v>
      </c>
      <c r="J21" t="s">
        <v>135</v>
      </c>
      <c r="K21" s="12" t="s">
        <v>126</v>
      </c>
      <c r="L21" s="12" t="str">
        <f t="shared" si="0"/>
        <v>14-AUG</v>
      </c>
      <c r="M21" s="12" t="str">
        <f t="shared" si="1"/>
        <v>Camping Tent Coleman</v>
      </c>
    </row>
    <row r="22" spans="1:13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I22" s="15">
        <v>14</v>
      </c>
      <c r="J22" t="s">
        <v>131</v>
      </c>
      <c r="K22" s="12" t="s">
        <v>147</v>
      </c>
      <c r="L22" s="12" t="str">
        <f t="shared" si="0"/>
        <v>14-MAY</v>
      </c>
      <c r="M22" s="12" t="str">
        <f t="shared" si="1"/>
        <v>Camera Nikon</v>
      </c>
    </row>
    <row r="23" spans="1:13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I23" s="16">
        <v>9</v>
      </c>
      <c r="J23" t="s">
        <v>125</v>
      </c>
      <c r="K23" s="12" t="s">
        <v>143</v>
      </c>
      <c r="L23" s="12" t="str">
        <f t="shared" si="0"/>
        <v>9-JAN</v>
      </c>
      <c r="M23" s="12" t="str">
        <f t="shared" si="1"/>
        <v>Microwave Panasonic</v>
      </c>
    </row>
    <row r="24" spans="1:13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I24" s="15">
        <v>19</v>
      </c>
      <c r="J24" t="s">
        <v>134</v>
      </c>
      <c r="K24" s="12" t="s">
        <v>148</v>
      </c>
      <c r="L24" s="12" t="str">
        <f t="shared" si="0"/>
        <v>19-JUL</v>
      </c>
      <c r="M24" s="12" t="str">
        <f t="shared" si="1"/>
        <v>Fitness Tracker Xiaomi</v>
      </c>
    </row>
    <row r="25" spans="1:13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  <c r="I25" s="16">
        <v>21</v>
      </c>
      <c r="J25" t="s">
        <v>135</v>
      </c>
      <c r="K25" s="12" t="s">
        <v>143</v>
      </c>
      <c r="L25" s="12" t="str">
        <f t="shared" si="0"/>
        <v>21-AUG</v>
      </c>
      <c r="M25" s="12" t="str">
        <f t="shared" si="1"/>
        <v>Laptop Bag Samsonite</v>
      </c>
    </row>
    <row r="26" spans="1:13">
      <c r="A26" s="10" t="s">
        <v>95</v>
      </c>
      <c r="B26" s="10" t="s">
        <v>129</v>
      </c>
      <c r="C26" s="10" t="s">
        <v>97</v>
      </c>
      <c r="D26" s="10">
        <v>800</v>
      </c>
      <c r="E26" s="10">
        <v>45</v>
      </c>
      <c r="F26" s="10" t="s">
        <v>28</v>
      </c>
      <c r="I26" s="15">
        <v>29</v>
      </c>
      <c r="J26" t="s">
        <v>136</v>
      </c>
      <c r="K26" s="12" t="s">
        <v>143</v>
      </c>
      <c r="L26" s="12" t="str">
        <f t="shared" si="0"/>
        <v>29-SEP</v>
      </c>
      <c r="M26" s="12" t="str">
        <f t="shared" si="1"/>
        <v>Smartphones Google</v>
      </c>
    </row>
    <row r="27" spans="1:13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  <c r="I27" s="16">
        <v>3</v>
      </c>
      <c r="J27" t="s">
        <v>132</v>
      </c>
      <c r="K27" s="12" t="s">
        <v>143</v>
      </c>
      <c r="L27" s="12" t="str">
        <f t="shared" si="0"/>
        <v>3-JUN</v>
      </c>
      <c r="M27" s="12" t="str">
        <f t="shared" si="1"/>
        <v>Sunglasses Ray-Ban</v>
      </c>
    </row>
    <row r="28" spans="1:13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I28" s="15">
        <v>11</v>
      </c>
      <c r="J28" t="s">
        <v>134</v>
      </c>
      <c r="K28" s="12" t="s">
        <v>143</v>
      </c>
      <c r="L28" s="12" t="str">
        <f t="shared" si="0"/>
        <v>11-JUL</v>
      </c>
      <c r="M28" s="12" t="str">
        <f t="shared" si="1"/>
        <v>Blender Vitamix</v>
      </c>
    </row>
    <row r="29" spans="1:13">
      <c r="A29" s="11" t="s">
        <v>69</v>
      </c>
      <c r="B29" s="11" t="s">
        <v>44</v>
      </c>
      <c r="C29" s="11" t="s">
        <v>71</v>
      </c>
      <c r="D29" s="11">
        <v>250</v>
      </c>
      <c r="E29" s="11">
        <v>20</v>
      </c>
      <c r="F29" s="11" t="s">
        <v>46</v>
      </c>
      <c r="I29" s="16">
        <v>16</v>
      </c>
      <c r="J29" t="s">
        <v>130</v>
      </c>
      <c r="K29" s="12" t="s">
        <v>144</v>
      </c>
      <c r="L29" s="12" t="str">
        <f t="shared" si="0"/>
        <v>16-APR</v>
      </c>
      <c r="M29" s="12" t="str">
        <f t="shared" si="1"/>
        <v>Headphones Bose</v>
      </c>
    </row>
    <row r="30" spans="1:13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I30" s="15">
        <v>7</v>
      </c>
      <c r="J30" t="s">
        <v>128</v>
      </c>
      <c r="K30" s="12" t="s">
        <v>143</v>
      </c>
      <c r="L30" s="12" t="str">
        <f t="shared" si="0"/>
        <v>7-MAR</v>
      </c>
      <c r="M30" s="12" t="str">
        <f t="shared" si="1"/>
        <v>Dress Zara</v>
      </c>
    </row>
    <row r="31" spans="1:13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I31" s="16">
        <v>13</v>
      </c>
      <c r="J31" t="s">
        <v>130</v>
      </c>
      <c r="K31" s="12" t="s">
        <v>143</v>
      </c>
      <c r="L31" s="12" t="str">
        <f t="shared" si="0"/>
        <v>13-APR</v>
      </c>
      <c r="M31" s="12" t="str">
        <f t="shared" si="1"/>
        <v>Toaster Hamilton</v>
      </c>
    </row>
    <row r="32" spans="1:13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I32" s="15">
        <v>24</v>
      </c>
      <c r="J32" t="s">
        <v>131</v>
      </c>
      <c r="K32" s="12" t="s">
        <v>143</v>
      </c>
      <c r="L32" s="12" t="str">
        <f t="shared" si="0"/>
        <v>24-MAY</v>
      </c>
      <c r="M32" s="12" t="str">
        <f t="shared" si="1"/>
        <v>Fitness Tracker Garmin</v>
      </c>
    </row>
    <row r="33" spans="1:13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I33" s="16">
        <v>2</v>
      </c>
      <c r="J33" t="s">
        <v>141</v>
      </c>
      <c r="K33" s="12" t="s">
        <v>143</v>
      </c>
      <c r="L33" s="12" t="str">
        <f t="shared" si="0"/>
        <v>2-DEC</v>
      </c>
      <c r="M33" s="12" t="str">
        <f t="shared" si="1"/>
        <v>Jeans Levi's</v>
      </c>
    </row>
    <row r="34" spans="1:13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I34" s="15">
        <v>17</v>
      </c>
      <c r="J34" t="s">
        <v>132</v>
      </c>
      <c r="K34" s="12" t="s">
        <v>138</v>
      </c>
      <c r="L34" s="12" t="str">
        <f t="shared" si="0"/>
        <v>17-JUN</v>
      </c>
      <c r="M34" s="12" t="str">
        <f t="shared" si="1"/>
        <v>Laptop HP</v>
      </c>
    </row>
    <row r="35" spans="1:13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I35" s="16">
        <v>9</v>
      </c>
      <c r="J35" t="s">
        <v>134</v>
      </c>
      <c r="K35" s="12" t="s">
        <v>149</v>
      </c>
      <c r="L35" s="12" t="str">
        <f t="shared" si="0"/>
        <v>9-JUL</v>
      </c>
      <c r="M35" s="12" t="str">
        <f t="shared" si="1"/>
        <v>Watch Casio</v>
      </c>
    </row>
    <row r="36" spans="1:13">
      <c r="K36" s="12"/>
    </row>
    <row r="37" spans="1:13">
      <c r="K37" s="12"/>
    </row>
    <row r="38" spans="1:13">
      <c r="K3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F54C-074D-4105-976A-81BCA9B4AD1B}">
  <dimension ref="A1:L35"/>
  <sheetViews>
    <sheetView workbookViewId="0">
      <selection activeCell="F2" sqref="F2"/>
    </sheetView>
  </sheetViews>
  <sheetFormatPr defaultRowHeight="12.75"/>
  <cols>
    <col min="1" max="1" width="14.7109375" customWidth="1"/>
    <col min="2" max="2" width="15.5703125" customWidth="1"/>
    <col min="4" max="4" width="9.42578125" bestFit="1" customWidth="1"/>
    <col min="6" max="6" width="16.140625" customWidth="1"/>
    <col min="11" max="11" width="19.5703125" customWidth="1"/>
    <col min="12" max="12" width="10.5703125" bestFit="1" customWidth="1"/>
  </cols>
  <sheetData>
    <row r="1" spans="1:1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I1" s="14"/>
      <c r="J1" s="17" t="s">
        <v>121</v>
      </c>
      <c r="K1" s="17" t="s">
        <v>123</v>
      </c>
      <c r="L1" t="s">
        <v>150</v>
      </c>
    </row>
    <row r="2" spans="1:12">
      <c r="A2" s="10" t="s">
        <v>25</v>
      </c>
      <c r="B2" s="10" t="s">
        <v>26</v>
      </c>
      <c r="C2" s="10" t="s">
        <v>27</v>
      </c>
      <c r="D2" s="18">
        <v>1000</v>
      </c>
      <c r="E2" s="10">
        <v>30</v>
      </c>
      <c r="F2" s="10" t="s">
        <v>28</v>
      </c>
      <c r="I2" s="15">
        <v>28</v>
      </c>
      <c r="J2" t="s">
        <v>125</v>
      </c>
      <c r="K2" s="21" t="str">
        <f>I2&amp;"-"&amp;J2</f>
        <v>28-JAN</v>
      </c>
      <c r="L2" s="20">
        <f>DATEVALUE(K2&amp;"-2026")</f>
        <v>46050</v>
      </c>
    </row>
    <row r="3" spans="1:12">
      <c r="A3" s="11" t="s">
        <v>29</v>
      </c>
      <c r="B3" s="11" t="s">
        <v>30</v>
      </c>
      <c r="C3" s="11" t="s">
        <v>31</v>
      </c>
      <c r="D3" s="19">
        <v>80</v>
      </c>
      <c r="E3" s="11">
        <v>15</v>
      </c>
      <c r="F3" s="11" t="s">
        <v>32</v>
      </c>
      <c r="I3" s="16">
        <v>15</v>
      </c>
      <c r="J3" t="s">
        <v>127</v>
      </c>
      <c r="K3" s="12" t="str">
        <f>I3&amp;"-"&amp;J3</f>
        <v>15-FEB</v>
      </c>
      <c r="L3" s="20">
        <f t="shared" ref="L3:L35" si="0">DATEVALUE(K3&amp;"-2026")</f>
        <v>46068</v>
      </c>
    </row>
    <row r="4" spans="1:12">
      <c r="A4" s="10" t="s">
        <v>33</v>
      </c>
      <c r="B4" s="10" t="s">
        <v>34</v>
      </c>
      <c r="C4" s="10" t="s">
        <v>35</v>
      </c>
      <c r="D4" s="18">
        <v>130</v>
      </c>
      <c r="E4" s="10">
        <v>40</v>
      </c>
      <c r="F4" s="10" t="s">
        <v>36</v>
      </c>
      <c r="I4" s="15">
        <v>3</v>
      </c>
      <c r="J4" t="s">
        <v>128</v>
      </c>
      <c r="K4" s="12" t="str">
        <f>I4&amp;"-"&amp;J4</f>
        <v>3-MAR</v>
      </c>
      <c r="L4" s="20">
        <f t="shared" si="0"/>
        <v>46084</v>
      </c>
    </row>
    <row r="5" spans="1:12">
      <c r="A5" s="11" t="s">
        <v>37</v>
      </c>
      <c r="B5" s="11" t="s">
        <v>38</v>
      </c>
      <c r="C5" s="11" t="s">
        <v>39</v>
      </c>
      <c r="D5" s="19">
        <v>900</v>
      </c>
      <c r="E5" s="11">
        <v>25</v>
      </c>
      <c r="F5" s="11" t="s">
        <v>28</v>
      </c>
      <c r="I5" s="16">
        <v>11</v>
      </c>
      <c r="J5" t="s">
        <v>130</v>
      </c>
      <c r="K5" s="12" t="str">
        <f>I5&amp;"-"&amp;J5</f>
        <v>11-APR</v>
      </c>
      <c r="L5" s="20">
        <f t="shared" si="0"/>
        <v>46123</v>
      </c>
    </row>
    <row r="6" spans="1:12">
      <c r="A6" s="10" t="s">
        <v>40</v>
      </c>
      <c r="B6" s="10" t="s">
        <v>41</v>
      </c>
      <c r="C6" s="10" t="s">
        <v>42</v>
      </c>
      <c r="D6" s="18">
        <v>70</v>
      </c>
      <c r="E6" s="10">
        <v>20</v>
      </c>
      <c r="F6" s="10"/>
      <c r="I6" s="15">
        <v>22</v>
      </c>
      <c r="J6" t="s">
        <v>131</v>
      </c>
      <c r="K6" s="12" t="str">
        <f>I6&amp;"-"&amp;J6</f>
        <v>22-MAY</v>
      </c>
      <c r="L6" s="20">
        <f t="shared" si="0"/>
        <v>46164</v>
      </c>
    </row>
    <row r="7" spans="1:12">
      <c r="A7" s="11" t="s">
        <v>43</v>
      </c>
      <c r="B7" s="11" t="s">
        <v>44</v>
      </c>
      <c r="C7" s="11" t="s">
        <v>45</v>
      </c>
      <c r="D7" s="19"/>
      <c r="E7" s="11">
        <v>45</v>
      </c>
      <c r="F7" s="11" t="s">
        <v>28</v>
      </c>
      <c r="I7" s="16">
        <v>7</v>
      </c>
      <c r="J7" t="s">
        <v>132</v>
      </c>
      <c r="K7" s="12" t="str">
        <f>I7&amp;"-"&amp;J7</f>
        <v>7-JUN</v>
      </c>
      <c r="L7" s="20">
        <f t="shared" si="0"/>
        <v>46180</v>
      </c>
    </row>
    <row r="8" spans="1:12">
      <c r="A8" s="10" t="s">
        <v>47</v>
      </c>
      <c r="B8" s="10" t="s">
        <v>48</v>
      </c>
      <c r="C8" s="10" t="s">
        <v>49</v>
      </c>
      <c r="D8" s="18">
        <v>30</v>
      </c>
      <c r="E8" s="10">
        <v>5</v>
      </c>
      <c r="F8" s="10" t="s">
        <v>32</v>
      </c>
      <c r="I8" s="15">
        <v>19</v>
      </c>
      <c r="J8" t="s">
        <v>134</v>
      </c>
      <c r="K8" s="12" t="str">
        <f>I8&amp;"-"&amp;J8</f>
        <v>19-JUL</v>
      </c>
      <c r="L8" s="20">
        <f t="shared" si="0"/>
        <v>46222</v>
      </c>
    </row>
    <row r="9" spans="1:12">
      <c r="A9" s="11" t="s">
        <v>50</v>
      </c>
      <c r="B9" s="11" t="s">
        <v>51</v>
      </c>
      <c r="C9" s="11" t="s">
        <v>52</v>
      </c>
      <c r="D9" s="19">
        <v>90</v>
      </c>
      <c r="E9" s="11">
        <v>35</v>
      </c>
      <c r="F9" s="11" t="s">
        <v>36</v>
      </c>
      <c r="I9" s="16">
        <v>23</v>
      </c>
      <c r="J9" t="s">
        <v>135</v>
      </c>
      <c r="K9" s="12" t="str">
        <f>I9&amp;"-"&amp;J9</f>
        <v>23-AUG</v>
      </c>
      <c r="L9" s="20">
        <f t="shared" si="0"/>
        <v>46257</v>
      </c>
    </row>
    <row r="10" spans="1:12">
      <c r="A10" s="10" t="s">
        <v>53</v>
      </c>
      <c r="B10" s="10" t="s">
        <v>54</v>
      </c>
      <c r="C10" s="10" t="s">
        <v>55</v>
      </c>
      <c r="D10" s="18">
        <v>500</v>
      </c>
      <c r="E10" s="10">
        <v>50</v>
      </c>
      <c r="F10" s="10" t="s">
        <v>28</v>
      </c>
      <c r="I10" s="15">
        <v>5</v>
      </c>
      <c r="J10" t="s">
        <v>136</v>
      </c>
      <c r="K10" s="12" t="str">
        <f>I10&amp;"-"&amp;J10</f>
        <v>5-SEP</v>
      </c>
      <c r="L10" s="20">
        <f t="shared" si="0"/>
        <v>46270</v>
      </c>
    </row>
    <row r="11" spans="1:12">
      <c r="A11" s="11" t="s">
        <v>56</v>
      </c>
      <c r="B11" s="11" t="s">
        <v>57</v>
      </c>
      <c r="C11" s="11" t="s">
        <v>58</v>
      </c>
      <c r="D11" s="19">
        <v>130</v>
      </c>
      <c r="E11" s="11">
        <v>10</v>
      </c>
      <c r="F11" s="11" t="s">
        <v>59</v>
      </c>
      <c r="I11" s="16">
        <v>14</v>
      </c>
      <c r="J11" t="s">
        <v>137</v>
      </c>
      <c r="K11" s="12" t="str">
        <f>I11&amp;"-"&amp;J11</f>
        <v>14-OCT</v>
      </c>
      <c r="L11" s="20">
        <f t="shared" si="0"/>
        <v>46309</v>
      </c>
    </row>
    <row r="12" spans="1:12">
      <c r="A12" s="10" t="s">
        <v>60</v>
      </c>
      <c r="B12" s="10" t="s">
        <v>61</v>
      </c>
      <c r="C12" s="10" t="s">
        <v>62</v>
      </c>
      <c r="D12" s="18">
        <v>950</v>
      </c>
      <c r="E12" s="10">
        <v>25</v>
      </c>
      <c r="F12" s="10" t="s">
        <v>28</v>
      </c>
      <c r="I12" s="15">
        <v>17</v>
      </c>
      <c r="J12" t="s">
        <v>132</v>
      </c>
      <c r="K12" s="12" t="str">
        <f>I12&amp;"-"&amp;J12</f>
        <v>17-JUN</v>
      </c>
      <c r="L12" s="20">
        <f t="shared" si="0"/>
        <v>46190</v>
      </c>
    </row>
    <row r="13" spans="1:12">
      <c r="A13" s="11" t="s">
        <v>63</v>
      </c>
      <c r="B13" s="11" t="s">
        <v>30</v>
      </c>
      <c r="C13" s="11" t="s">
        <v>49</v>
      </c>
      <c r="D13" s="19">
        <v>90</v>
      </c>
      <c r="E13" s="11">
        <v>40</v>
      </c>
      <c r="F13" s="11"/>
      <c r="I13" s="16">
        <v>25</v>
      </c>
      <c r="J13" t="s">
        <v>139</v>
      </c>
      <c r="K13" s="12" t="str">
        <f>I13&amp;"-"&amp;J13</f>
        <v>25-NOV</v>
      </c>
      <c r="L13" s="20">
        <f t="shared" si="0"/>
        <v>46351</v>
      </c>
    </row>
    <row r="14" spans="1:12">
      <c r="A14" s="10" t="s">
        <v>64</v>
      </c>
      <c r="B14" s="10" t="s">
        <v>34</v>
      </c>
      <c r="C14" s="10" t="s">
        <v>65</v>
      </c>
      <c r="D14" s="18">
        <v>120</v>
      </c>
      <c r="E14" s="10">
        <v>35</v>
      </c>
      <c r="F14" s="10"/>
      <c r="I14" s="15">
        <v>8</v>
      </c>
      <c r="J14" t="s">
        <v>141</v>
      </c>
      <c r="K14" s="12" t="str">
        <f>I14&amp;"-"&amp;J14</f>
        <v>8-DEC</v>
      </c>
      <c r="L14" s="20">
        <f t="shared" si="0"/>
        <v>46364</v>
      </c>
    </row>
    <row r="15" spans="1:12">
      <c r="A15" s="11" t="s">
        <v>66</v>
      </c>
      <c r="B15" s="11" t="s">
        <v>67</v>
      </c>
      <c r="C15" s="11" t="s">
        <v>68</v>
      </c>
      <c r="D15" s="19">
        <v>150</v>
      </c>
      <c r="E15" s="11">
        <v>15</v>
      </c>
      <c r="F15" s="11" t="s">
        <v>28</v>
      </c>
      <c r="I15" s="16">
        <v>18</v>
      </c>
      <c r="J15" t="s">
        <v>127</v>
      </c>
      <c r="K15" s="12" t="str">
        <f>I15&amp;"-"&amp;J15</f>
        <v>18-FEB</v>
      </c>
      <c r="L15" s="20">
        <f t="shared" si="0"/>
        <v>46071</v>
      </c>
    </row>
    <row r="16" spans="1:12">
      <c r="A16" s="10" t="s">
        <v>69</v>
      </c>
      <c r="B16" s="10" t="s">
        <v>70</v>
      </c>
      <c r="C16" s="10" t="s">
        <v>71</v>
      </c>
      <c r="D16" s="18">
        <v>250</v>
      </c>
      <c r="E16" s="10">
        <v>20</v>
      </c>
      <c r="F16" s="10" t="s">
        <v>28</v>
      </c>
      <c r="I16" s="15">
        <v>16</v>
      </c>
      <c r="J16" t="s">
        <v>130</v>
      </c>
      <c r="K16" s="12" t="str">
        <f>I16&amp;"-"&amp;J16</f>
        <v>16-APR</v>
      </c>
      <c r="L16" s="20">
        <f t="shared" si="0"/>
        <v>46128</v>
      </c>
    </row>
    <row r="17" spans="1:12">
      <c r="A17" s="11" t="s">
        <v>72</v>
      </c>
      <c r="B17" s="11" t="s">
        <v>73</v>
      </c>
      <c r="C17" s="11" t="s">
        <v>74</v>
      </c>
      <c r="D17" s="19">
        <v>50</v>
      </c>
      <c r="E17" s="11">
        <v>35</v>
      </c>
      <c r="F17" s="11" t="s">
        <v>75</v>
      </c>
      <c r="I17" s="16">
        <v>21</v>
      </c>
      <c r="J17" t="s">
        <v>135</v>
      </c>
      <c r="K17" s="12" t="str">
        <f>I17&amp;"-"&amp;J17</f>
        <v>21-AUG</v>
      </c>
      <c r="L17" s="20">
        <f t="shared" si="0"/>
        <v>46255</v>
      </c>
    </row>
    <row r="18" spans="1:12">
      <c r="A18" s="10" t="s">
        <v>76</v>
      </c>
      <c r="B18" s="10" t="s">
        <v>67</v>
      </c>
      <c r="C18" s="10" t="s">
        <v>77</v>
      </c>
      <c r="D18" s="18">
        <v>160</v>
      </c>
      <c r="E18" s="10">
        <v>15</v>
      </c>
      <c r="F18" s="10" t="s">
        <v>28</v>
      </c>
      <c r="I18" s="15">
        <v>20</v>
      </c>
      <c r="J18" t="s">
        <v>135</v>
      </c>
      <c r="K18" s="12" t="str">
        <f>I18&amp;"-"&amp;J18</f>
        <v>20-AUG</v>
      </c>
      <c r="L18" s="20">
        <f t="shared" si="0"/>
        <v>46254</v>
      </c>
    </row>
    <row r="19" spans="1:12">
      <c r="A19" s="11" t="s">
        <v>78</v>
      </c>
      <c r="B19" s="11" t="s">
        <v>26</v>
      </c>
      <c r="C19" s="11" t="s">
        <v>79</v>
      </c>
      <c r="D19" s="19">
        <v>980</v>
      </c>
      <c r="E19" s="11">
        <v>10</v>
      </c>
      <c r="F19" s="11" t="s">
        <v>28</v>
      </c>
      <c r="I19" s="16">
        <v>27</v>
      </c>
      <c r="J19" t="s">
        <v>125</v>
      </c>
      <c r="K19" s="12" t="str">
        <f>I19&amp;"-"&amp;J19</f>
        <v>27-JAN</v>
      </c>
      <c r="L19" s="20">
        <f t="shared" si="0"/>
        <v>46049</v>
      </c>
    </row>
    <row r="20" spans="1:12">
      <c r="A20" s="10" t="s">
        <v>80</v>
      </c>
      <c r="B20" s="10" t="s">
        <v>81</v>
      </c>
      <c r="C20" s="10" t="s">
        <v>82</v>
      </c>
      <c r="D20" s="18">
        <v>150</v>
      </c>
      <c r="E20" s="10">
        <v>15</v>
      </c>
      <c r="F20" s="10" t="s">
        <v>32</v>
      </c>
      <c r="I20" s="15">
        <v>1</v>
      </c>
      <c r="J20" t="s">
        <v>128</v>
      </c>
      <c r="K20" s="12" t="str">
        <f>I20&amp;"-"&amp;J20</f>
        <v>1-MAR</v>
      </c>
      <c r="L20" s="20">
        <f t="shared" si="0"/>
        <v>46082</v>
      </c>
    </row>
    <row r="21" spans="1:12">
      <c r="A21" s="11" t="s">
        <v>83</v>
      </c>
      <c r="B21" s="11" t="s">
        <v>84</v>
      </c>
      <c r="C21" s="11" t="s">
        <v>85</v>
      </c>
      <c r="D21" s="19"/>
      <c r="E21" s="11">
        <v>10</v>
      </c>
      <c r="F21" s="11" t="s">
        <v>59</v>
      </c>
      <c r="I21" s="16">
        <v>14</v>
      </c>
      <c r="J21" t="s">
        <v>135</v>
      </c>
      <c r="K21" s="12" t="str">
        <f>I21&amp;"-"&amp;J21</f>
        <v>14-AUG</v>
      </c>
      <c r="L21" s="20">
        <f t="shared" si="0"/>
        <v>46248</v>
      </c>
    </row>
    <row r="22" spans="1:12">
      <c r="A22" s="10" t="s">
        <v>86</v>
      </c>
      <c r="B22" s="10" t="s">
        <v>87</v>
      </c>
      <c r="C22" s="10" t="s">
        <v>88</v>
      </c>
      <c r="D22" s="18">
        <v>700</v>
      </c>
      <c r="E22" s="10">
        <v>50</v>
      </c>
      <c r="F22" s="10" t="s">
        <v>28</v>
      </c>
      <c r="I22" s="15">
        <v>14</v>
      </c>
      <c r="J22" t="s">
        <v>131</v>
      </c>
      <c r="K22" s="12" t="str">
        <f>I22&amp;"-"&amp;J22</f>
        <v>14-MAY</v>
      </c>
      <c r="L22" s="20">
        <f t="shared" si="0"/>
        <v>46156</v>
      </c>
    </row>
    <row r="23" spans="1:12">
      <c r="A23" s="11" t="s">
        <v>89</v>
      </c>
      <c r="B23" s="11" t="s">
        <v>90</v>
      </c>
      <c r="C23" s="11" t="s">
        <v>91</v>
      </c>
      <c r="D23" s="19">
        <v>80</v>
      </c>
      <c r="E23" s="11">
        <v>20</v>
      </c>
      <c r="F23" s="11" t="s">
        <v>36</v>
      </c>
      <c r="I23" s="16">
        <v>9</v>
      </c>
      <c r="J23" t="s">
        <v>125</v>
      </c>
      <c r="K23" s="12" t="str">
        <f>I23&amp;"-"&amp;J23</f>
        <v>9-JAN</v>
      </c>
      <c r="L23" s="20">
        <f t="shared" si="0"/>
        <v>46031</v>
      </c>
    </row>
    <row r="24" spans="1:12">
      <c r="A24" s="10" t="s">
        <v>92</v>
      </c>
      <c r="B24" s="10" t="s">
        <v>93</v>
      </c>
      <c r="C24" s="10" t="s">
        <v>94</v>
      </c>
      <c r="D24" s="18">
        <v>150</v>
      </c>
      <c r="E24" s="10">
        <v>30</v>
      </c>
      <c r="F24" s="10"/>
      <c r="I24" s="15">
        <v>19</v>
      </c>
      <c r="J24" t="s">
        <v>134</v>
      </c>
      <c r="K24" s="12" t="str">
        <f>I24&amp;"-"&amp;J24</f>
        <v>19-JUL</v>
      </c>
      <c r="L24" s="20">
        <f t="shared" si="0"/>
        <v>46222</v>
      </c>
    </row>
    <row r="25" spans="1:12">
      <c r="A25" s="11" t="s">
        <v>72</v>
      </c>
      <c r="B25" s="11" t="s">
        <v>73</v>
      </c>
      <c r="C25" s="11" t="s">
        <v>74</v>
      </c>
      <c r="D25" s="19">
        <v>50</v>
      </c>
      <c r="E25" s="11">
        <v>35</v>
      </c>
      <c r="F25" s="11" t="s">
        <v>75</v>
      </c>
      <c r="I25" s="16">
        <v>21</v>
      </c>
      <c r="J25" t="s">
        <v>135</v>
      </c>
      <c r="K25" s="12" t="str">
        <f>I25&amp;"-"&amp;J25</f>
        <v>21-AUG</v>
      </c>
      <c r="L25" s="20">
        <f t="shared" si="0"/>
        <v>46255</v>
      </c>
    </row>
    <row r="26" spans="1:12">
      <c r="A26" s="10" t="s">
        <v>95</v>
      </c>
      <c r="B26" s="10" t="s">
        <v>96</v>
      </c>
      <c r="C26" s="10" t="s">
        <v>97</v>
      </c>
      <c r="D26" s="18">
        <v>800</v>
      </c>
      <c r="E26" s="10">
        <v>45</v>
      </c>
      <c r="F26" s="10" t="s">
        <v>28</v>
      </c>
      <c r="I26" s="15">
        <v>29</v>
      </c>
      <c r="J26" t="s">
        <v>136</v>
      </c>
      <c r="K26" s="12" t="str">
        <f>I26&amp;"-"&amp;J26</f>
        <v>29-SEP</v>
      </c>
      <c r="L26" s="20">
        <f t="shared" si="0"/>
        <v>46294</v>
      </c>
    </row>
    <row r="27" spans="1:12">
      <c r="A27" s="11" t="s">
        <v>98</v>
      </c>
      <c r="B27" s="11" t="s">
        <v>81</v>
      </c>
      <c r="C27" s="11" t="s">
        <v>99</v>
      </c>
      <c r="D27" s="19"/>
      <c r="E27" s="11">
        <v>25</v>
      </c>
      <c r="F27" s="11" t="s">
        <v>32</v>
      </c>
      <c r="I27" s="16">
        <v>3</v>
      </c>
      <c r="J27" t="s">
        <v>132</v>
      </c>
      <c r="K27" s="12" t="str">
        <f>I27&amp;"-"&amp;J27</f>
        <v>3-JUN</v>
      </c>
      <c r="L27" s="20">
        <f t="shared" si="0"/>
        <v>46176</v>
      </c>
    </row>
    <row r="28" spans="1:12">
      <c r="A28" s="10" t="s">
        <v>100</v>
      </c>
      <c r="B28" s="10" t="s">
        <v>51</v>
      </c>
      <c r="C28" s="10" t="s">
        <v>101</v>
      </c>
      <c r="D28" s="18">
        <v>400</v>
      </c>
      <c r="E28" s="10">
        <v>40</v>
      </c>
      <c r="F28" s="10" t="s">
        <v>36</v>
      </c>
      <c r="I28" s="15">
        <v>11</v>
      </c>
      <c r="J28" t="s">
        <v>134</v>
      </c>
      <c r="K28" s="12" t="str">
        <f>I28&amp;"-"&amp;J28</f>
        <v>11-JUL</v>
      </c>
      <c r="L28" s="20">
        <f t="shared" si="0"/>
        <v>46214</v>
      </c>
    </row>
    <row r="29" spans="1:12">
      <c r="A29" s="11" t="s">
        <v>69</v>
      </c>
      <c r="B29" s="11" t="s">
        <v>70</v>
      </c>
      <c r="C29" s="11" t="s">
        <v>71</v>
      </c>
      <c r="D29" s="19">
        <v>250</v>
      </c>
      <c r="E29" s="11">
        <v>20</v>
      </c>
      <c r="F29" s="11" t="s">
        <v>28</v>
      </c>
      <c r="I29" s="16">
        <v>16</v>
      </c>
      <c r="J29" t="s">
        <v>130</v>
      </c>
      <c r="K29" s="12" t="str">
        <f>I29&amp;"-"&amp;J29</f>
        <v>16-APR</v>
      </c>
      <c r="L29" s="20">
        <f t="shared" si="0"/>
        <v>46128</v>
      </c>
    </row>
    <row r="30" spans="1:12">
      <c r="A30" s="10" t="s">
        <v>102</v>
      </c>
      <c r="B30" s="10" t="s">
        <v>103</v>
      </c>
      <c r="C30" s="10" t="s">
        <v>104</v>
      </c>
      <c r="D30" s="18">
        <v>60</v>
      </c>
      <c r="E30" s="10">
        <v>30</v>
      </c>
      <c r="F30" s="10" t="s">
        <v>32</v>
      </c>
      <c r="I30" s="15">
        <v>7</v>
      </c>
      <c r="J30" t="s">
        <v>128</v>
      </c>
      <c r="K30" s="12" t="str">
        <f>I30&amp;"-"&amp;J30</f>
        <v>7-MAR</v>
      </c>
      <c r="L30" s="20">
        <f t="shared" si="0"/>
        <v>46088</v>
      </c>
    </row>
    <row r="31" spans="1:12">
      <c r="A31" s="11" t="s">
        <v>105</v>
      </c>
      <c r="B31" s="11" t="s">
        <v>106</v>
      </c>
      <c r="C31" s="11" t="s">
        <v>107</v>
      </c>
      <c r="D31" s="19">
        <v>40</v>
      </c>
      <c r="E31" s="11">
        <v>10</v>
      </c>
      <c r="F31" s="11" t="s">
        <v>36</v>
      </c>
      <c r="I31" s="16">
        <v>13</v>
      </c>
      <c r="J31" t="s">
        <v>130</v>
      </c>
      <c r="K31" s="12" t="str">
        <f>I31&amp;"-"&amp;J31</f>
        <v>13-APR</v>
      </c>
      <c r="L31" s="20">
        <f t="shared" si="0"/>
        <v>46125</v>
      </c>
    </row>
    <row r="32" spans="1:12">
      <c r="A32" s="10" t="s">
        <v>108</v>
      </c>
      <c r="B32" s="10" t="s">
        <v>93</v>
      </c>
      <c r="C32" s="10" t="s">
        <v>109</v>
      </c>
      <c r="D32" s="18">
        <v>130</v>
      </c>
      <c r="E32" s="10">
        <v>5</v>
      </c>
      <c r="F32" s="10" t="s">
        <v>28</v>
      </c>
      <c r="I32" s="15">
        <v>24</v>
      </c>
      <c r="J32" t="s">
        <v>131</v>
      </c>
      <c r="K32" s="12" t="str">
        <f>I32&amp;"-"&amp;J32</f>
        <v>24-MAY</v>
      </c>
      <c r="L32" s="20">
        <f t="shared" si="0"/>
        <v>46166</v>
      </c>
    </row>
    <row r="33" spans="1:12">
      <c r="A33" s="11" t="s">
        <v>110</v>
      </c>
      <c r="B33" s="11" t="s">
        <v>111</v>
      </c>
      <c r="C33" s="11" t="s">
        <v>112</v>
      </c>
      <c r="D33" s="19">
        <v>50</v>
      </c>
      <c r="E33" s="11">
        <v>50</v>
      </c>
      <c r="F33" s="11" t="s">
        <v>32</v>
      </c>
      <c r="I33" s="16">
        <v>2</v>
      </c>
      <c r="J33" t="s">
        <v>141</v>
      </c>
      <c r="K33" s="12" t="str">
        <f>I33&amp;"-"&amp;J33</f>
        <v>2-DEC</v>
      </c>
      <c r="L33" s="20">
        <f t="shared" si="0"/>
        <v>46358</v>
      </c>
    </row>
    <row r="34" spans="1:12">
      <c r="A34" s="10" t="s">
        <v>60</v>
      </c>
      <c r="B34" s="10" t="s">
        <v>61</v>
      </c>
      <c r="C34" s="10" t="s">
        <v>62</v>
      </c>
      <c r="D34" s="18">
        <v>950</v>
      </c>
      <c r="E34" s="10">
        <v>25</v>
      </c>
      <c r="F34" s="10" t="s">
        <v>28</v>
      </c>
      <c r="I34" s="15">
        <v>17</v>
      </c>
      <c r="J34" t="s">
        <v>132</v>
      </c>
      <c r="K34" s="12" t="str">
        <f>I34&amp;"-"&amp;J34</f>
        <v>17-JUN</v>
      </c>
      <c r="L34" s="20">
        <f t="shared" si="0"/>
        <v>46190</v>
      </c>
    </row>
    <row r="35" spans="1:12">
      <c r="A35" s="11" t="s">
        <v>113</v>
      </c>
      <c r="B35" s="11" t="s">
        <v>114</v>
      </c>
      <c r="C35" s="11" t="s">
        <v>115</v>
      </c>
      <c r="D35" s="19">
        <v>100</v>
      </c>
      <c r="E35" s="11">
        <v>20</v>
      </c>
      <c r="F35" s="11" t="s">
        <v>75</v>
      </c>
      <c r="I35" s="16">
        <v>9</v>
      </c>
      <c r="J35" t="s">
        <v>134</v>
      </c>
      <c r="K35" s="12" t="str">
        <f>I35&amp;"-"&amp;J35</f>
        <v>9-JUL</v>
      </c>
      <c r="L35" s="20">
        <f t="shared" si="0"/>
        <v>46212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DD6-D824-431E-B01D-B540586E40C2}">
  <dimension ref="A1:F35"/>
  <sheetViews>
    <sheetView tabSelected="1" workbookViewId="0">
      <selection activeCell="F2" sqref="F2"/>
    </sheetView>
  </sheetViews>
  <sheetFormatPr defaultRowHeight="12.75"/>
  <cols>
    <col min="1" max="1" width="17.85546875" customWidth="1"/>
    <col min="2" max="2" width="14.28515625" customWidth="1"/>
    <col min="3" max="3" width="15" customWidth="1"/>
    <col min="6" max="6" width="16.7109375" customWidth="1"/>
  </cols>
  <sheetData>
    <row r="1" spans="1:6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6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6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6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6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6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6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6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6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6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6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6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6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6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6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6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</sheetData>
  <conditionalFormatting sqref="D2:D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{D0BE75C3-BB2D-4105-845D-5C498A265178}</x14:id>
        </ext>
      </extLst>
    </cfRule>
  </conditionalFormatting>
  <conditionalFormatting sqref="F2:F35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BE75C3-BB2D-4105-845D-5C498A2651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 priya</cp:lastModifiedBy>
  <cp:revision/>
  <dcterms:created xsi:type="dcterms:W3CDTF">2026-09-24T20:26:42Z</dcterms:created>
  <dcterms:modified xsi:type="dcterms:W3CDTF">2026-09-24T20:26:42Z</dcterms:modified>
  <cp:category/>
  <cp:contentStatus/>
</cp:coreProperties>
</file>